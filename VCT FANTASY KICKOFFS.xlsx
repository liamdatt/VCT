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 AND ROSTERS" sheetId="1" r:id="rId5"/>
    <sheet state="visible" name="FREE AGENCY AND RULES" sheetId="2" r:id="rId6"/>
    <sheet state="visible" name="Kickoff Draft Order" sheetId="3" r:id="rId7"/>
    <sheet state="visible" name="Stage 1 Draft Order" sheetId="4" r:id="rId8"/>
  </sheets>
  <definedNames/>
  <calcPr/>
</workbook>
</file>

<file path=xl/sharedStrings.xml><?xml version="1.0" encoding="utf-8"?>
<sst xmlns="http://schemas.openxmlformats.org/spreadsheetml/2006/main" count="403" uniqueCount="165">
  <si>
    <t xml:space="preserve"> </t>
  </si>
  <si>
    <t>LEADERBOARD</t>
  </si>
  <si>
    <t xml:space="preserve">Brian </t>
  </si>
  <si>
    <t>Justin C</t>
  </si>
  <si>
    <t>Justin B</t>
  </si>
  <si>
    <t>brawk(NRG)</t>
  </si>
  <si>
    <t>Demon1 (ENVY)</t>
  </si>
  <si>
    <t>trent(G2)</t>
  </si>
  <si>
    <t>Asuna(100T)</t>
  </si>
  <si>
    <t>keiko(NRG)</t>
  </si>
  <si>
    <t>v1c(C9)</t>
  </si>
  <si>
    <t>Managers</t>
  </si>
  <si>
    <t>Points</t>
  </si>
  <si>
    <t>aspas(MIBR)</t>
  </si>
  <si>
    <t>dgzin(EG)</t>
  </si>
  <si>
    <t>valyn(G2)</t>
  </si>
  <si>
    <t>Liam</t>
  </si>
  <si>
    <t>Eggsterr(ENVY)</t>
  </si>
  <si>
    <t>OXY(C9)</t>
  </si>
  <si>
    <t>Ethan(NRG)</t>
  </si>
  <si>
    <t xml:space="preserve">Jahnai </t>
  </si>
  <si>
    <t>johnqt(SEN)</t>
  </si>
  <si>
    <t>Cryocells(100T)</t>
  </si>
  <si>
    <t>kiNgg(Leviatan)</t>
  </si>
  <si>
    <t>Brian</t>
  </si>
  <si>
    <t>Current Total:</t>
  </si>
  <si>
    <t>Michael</t>
  </si>
  <si>
    <t>TC: 3:21pm</t>
  </si>
  <si>
    <t>Jahnai</t>
  </si>
  <si>
    <t>skuba(NRG)</t>
  </si>
  <si>
    <t>Timotino(100T)</t>
  </si>
  <si>
    <t>Joshua</t>
  </si>
  <si>
    <t>Verno (MIBR)</t>
  </si>
  <si>
    <t>zekken(MIBR)</t>
  </si>
  <si>
    <t>leaf(G2)</t>
  </si>
  <si>
    <t>koalanoob(FURIA)</t>
  </si>
  <si>
    <t>Keznit(ENVY)</t>
  </si>
  <si>
    <t>Rossy  (ENVY)</t>
  </si>
  <si>
    <t>okeanos(EG)</t>
  </si>
  <si>
    <t>babybay(G2)</t>
  </si>
  <si>
    <t>Bang(100T)</t>
  </si>
  <si>
    <t>mada(NRG)</t>
  </si>
  <si>
    <t>Xeppaa(C9)</t>
  </si>
  <si>
    <t>Vora(100T)</t>
  </si>
  <si>
    <t>Mazino(MIBR)</t>
  </si>
  <si>
    <t>jawgemo(G2)</t>
  </si>
  <si>
    <t>reduxx(SEN)</t>
  </si>
  <si>
    <t>penny(C9)</t>
  </si>
  <si>
    <t>eeiu(FURIA)</t>
  </si>
  <si>
    <t>P0PPIN(ENVY)</t>
  </si>
  <si>
    <t>https://liquipedia.net/valorant/VCT/2026/Americas_League/Stage_1</t>
  </si>
  <si>
    <t>Free Players</t>
  </si>
  <si>
    <t>All Players</t>
  </si>
  <si>
    <t>HOW TO WIN POINTS</t>
  </si>
  <si>
    <t>FREE AGENCY RULES</t>
  </si>
  <si>
    <t>artzin(FURIA)</t>
  </si>
  <si>
    <t>tex(MIBR)</t>
  </si>
  <si>
    <t>Draft a team of 5 players to win points (Team Cap : 5 Players)</t>
  </si>
  <si>
    <t>After the draft, there will be players who werent chosen. 
That you would be allowed to pickup (only after dropping a player on your team)
(ONE PICKUP EVERY 1 DAYS)</t>
  </si>
  <si>
    <t>Zellsis(C9)</t>
  </si>
  <si>
    <t>Saadhak(KRUE)</t>
  </si>
  <si>
    <t>Points System:</t>
  </si>
  <si>
    <t>nerve(FURIA)</t>
  </si>
  <si>
    <t>Less(KRUE)</t>
  </si>
  <si>
    <t>Kill : 2 Pts</t>
  </si>
  <si>
    <t>alym (FURIA)</t>
  </si>
  <si>
    <t>mwzera (KRU E)</t>
  </si>
  <si>
    <t>Death: -1 Pts</t>
  </si>
  <si>
    <t>Assist - 1.5 Pts</t>
  </si>
  <si>
    <t>TRADE RULES</t>
  </si>
  <si>
    <t>supamen(EG)</t>
  </si>
  <si>
    <t>Ace - 5 Pts</t>
  </si>
  <si>
    <t>Managers can trade as many players as they want once its on a 1 for 1 basis. Managers can use 
picks when trading players. FOR EXAMPLE: I trade my 3rd round pick and Subroza for Tenz from
someone else. This is valid because it is a 1 for 1 PLAYER trade.</t>
  </si>
  <si>
    <t>Sato(Leviatan)</t>
  </si>
  <si>
    <t>Win - 10 Pts</t>
  </si>
  <si>
    <t>bao(EG)</t>
  </si>
  <si>
    <t>Loss: -5 Pts</t>
  </si>
  <si>
    <t>C0M (EG)</t>
  </si>
  <si>
    <t>silentzz(KRUE)</t>
  </si>
  <si>
    <t>Team Captain 1.5x total Pts</t>
  </si>
  <si>
    <t>blowz (Leviatan)</t>
  </si>
  <si>
    <t>Dantedue5(KRUE)</t>
  </si>
  <si>
    <t>Mangers will receive 5 Points per player that they trade, Trade bonus (per player)
 will have a cooldown of 3 days. (NOT TO BE CONFUSED: you have unlimited trades 
with no cooldowns however if I trade Player A for Player B they both will have a 3 day 
TRADE BONUS cooldown, you CAN still trade that player to someone else.
 However if you trade Player A for Player C, the manager who sent C will get 
the bonus but not the Player A manager if the cooldown is still in effect</t>
  </si>
  <si>
    <t>spike(Leviatan)</t>
  </si>
  <si>
    <t>FAQ</t>
  </si>
  <si>
    <t>Neon (Leviatan)</t>
  </si>
  <si>
    <t>A win is from a singular game and not a series</t>
  </si>
  <si>
    <t>Jerrwin(SEN)</t>
  </si>
  <si>
    <t>lukxo (LOUD)</t>
  </si>
  <si>
    <t>If you have 2 players from the same team and they
win a game, you get 20 points and not just 10</t>
  </si>
  <si>
    <t>JonahP(SEN)</t>
  </si>
  <si>
    <t>cortezia(SEN)</t>
  </si>
  <si>
    <t>pANcada(LOUD)</t>
  </si>
  <si>
    <t>Team Captains can be changed once every week
(Any team captain changes will be done at the start or end of a day)</t>
  </si>
  <si>
    <t>cauanzin (LOUD)</t>
  </si>
  <si>
    <t>Victor (SEN)</t>
  </si>
  <si>
    <t>Virtyy(LOUD)</t>
  </si>
  <si>
    <t>PxS (Leviatan)</t>
  </si>
  <si>
    <t>You cannot pickup a player during a series</t>
  </si>
  <si>
    <t>Darker (LOUD)</t>
  </si>
  <si>
    <t>Canezerra (ENVY)</t>
  </si>
  <si>
    <t>Basic (FURIA)</t>
  </si>
  <si>
    <t>Free Agency History</t>
  </si>
  <si>
    <t>Liam drops Less for Okeanos</t>
  </si>
  <si>
    <t>Players</t>
  </si>
  <si>
    <t>Rank</t>
  </si>
  <si>
    <t>valyn (G2)</t>
  </si>
  <si>
    <t>jawgemo (G2)</t>
  </si>
  <si>
    <t>trent (G2)</t>
  </si>
  <si>
    <t>Tishawn</t>
  </si>
  <si>
    <t>leaf (G2)</t>
  </si>
  <si>
    <t>Eduardo</t>
  </si>
  <si>
    <t>babybay (G2)</t>
  </si>
  <si>
    <t>Katelyn</t>
  </si>
  <si>
    <t>brawk (NRG)</t>
  </si>
  <si>
    <t>skuba (NRG)</t>
  </si>
  <si>
    <t>Alex</t>
  </si>
  <si>
    <t>mada (NRG)</t>
  </si>
  <si>
    <t>Ethan (NRG)</t>
  </si>
  <si>
    <t>OXY (C9)</t>
  </si>
  <si>
    <t>N4RRATE (SEN)</t>
  </si>
  <si>
    <t>Cryocells  (100T)</t>
  </si>
  <si>
    <t>Sato (Leviatan)</t>
  </si>
  <si>
    <t>Sa'id</t>
  </si>
  <si>
    <t>zekken (MIBR)</t>
  </si>
  <si>
    <t>johnqt (SEN)</t>
  </si>
  <si>
    <t xml:space="preserve">aspas (MIBR) </t>
  </si>
  <si>
    <t>eeiu (FURIA)</t>
  </si>
  <si>
    <t>v1c (C9)</t>
  </si>
  <si>
    <t>cortezia (SEN)</t>
  </si>
  <si>
    <t>Bang  (100T)</t>
  </si>
  <si>
    <t>okeanos (EG)</t>
  </si>
  <si>
    <t>Asuna (100T)</t>
  </si>
  <si>
    <t>Virtyy (LOUD)</t>
  </si>
  <si>
    <t>Zellsis (C9)</t>
  </si>
  <si>
    <t>Xeppaa (C9)</t>
  </si>
  <si>
    <t>Marc</t>
  </si>
  <si>
    <t>pANcada (LOUD)</t>
  </si>
  <si>
    <t>spikeziN (Leviatan)</t>
  </si>
  <si>
    <t>Mazino (MIBR)</t>
  </si>
  <si>
    <t>supamen (EG)</t>
  </si>
  <si>
    <t>silentzz (KRU E)</t>
  </si>
  <si>
    <t>kiNgg (Leviatan)</t>
  </si>
  <si>
    <t>artzin (FURIA)</t>
  </si>
  <si>
    <t>Saadhak (KRU E)</t>
  </si>
  <si>
    <t>Less (KRU E)</t>
  </si>
  <si>
    <t>koalanoob (FURIA)</t>
  </si>
  <si>
    <t>tex (MIBR)</t>
  </si>
  <si>
    <t>Dantedue5 (KRU E)</t>
  </si>
  <si>
    <t>Timotino  (100T)</t>
  </si>
  <si>
    <t>nerve (FURIA)</t>
  </si>
  <si>
    <t>Vora  (100T)</t>
  </si>
  <si>
    <t>penny (C9)</t>
  </si>
  <si>
    <t>bao (EG)</t>
  </si>
  <si>
    <t>dgzin (EG)</t>
  </si>
  <si>
    <t>keiko (NRG)</t>
  </si>
  <si>
    <t>Kyu (SEN)</t>
  </si>
  <si>
    <t>reduxx (SEN)</t>
  </si>
  <si>
    <t>Eggsterr (ENVY)</t>
  </si>
  <si>
    <t>inspire (ENVY)</t>
  </si>
  <si>
    <t>P0PPIN (ENVY)</t>
  </si>
  <si>
    <t>Manager</t>
  </si>
  <si>
    <t>Order</t>
  </si>
  <si>
    <t>?</t>
  </si>
  <si>
    <t>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</si>
</sst>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i/>
      <color theme="1"/>
      <name val="Roboto"/>
    </font>
    <font>
      <b/>
      <sz val="19.0"/>
      <color rgb="FFFFFFFF"/>
      <name val="Roboto"/>
    </font>
    <font/>
    <font>
      <color theme="1"/>
      <name val="Roboto"/>
    </font>
    <font>
      <sz val="10.0"/>
      <color theme="1"/>
      <name val="Roboto"/>
    </font>
    <font>
      <color theme="1"/>
      <name val="Arial"/>
      <scheme val="minor"/>
    </font>
    <font>
      <b/>
      <sz val="10.0"/>
      <color theme="1"/>
      <name val="Roboto"/>
    </font>
    <font>
      <sz val="10.0"/>
      <color rgb="FF000000"/>
      <name val="Roboto"/>
    </font>
    <font>
      <b/>
      <color theme="1"/>
      <name val="Arial"/>
      <scheme val="minor"/>
    </font>
    <font>
      <b/>
      <color theme="1"/>
      <name val="Roboto"/>
    </font>
    <font>
      <b/>
      <sz val="10.0"/>
      <color rgb="FF000000"/>
      <name val="Roboto"/>
    </font>
    <font>
      <i/>
      <color theme="1"/>
      <name val="Arial"/>
      <scheme val="minor"/>
    </font>
    <font>
      <color theme="1"/>
      <name val="Arial"/>
    </font>
    <font>
      <b/>
      <u/>
      <sz val="20.0"/>
      <color rgb="FF0000FF"/>
      <name val="Roboto"/>
    </font>
    <font>
      <b/>
      <sz val="18.0"/>
      <color theme="1"/>
      <name val="Arial"/>
      <scheme val="minor"/>
    </font>
    <font>
      <b/>
      <sz val="18.0"/>
      <color rgb="FFFFFFFF"/>
      <name val="Roboto"/>
    </font>
    <font>
      <b/>
      <sz val="16.0"/>
      <color rgb="FFFFFFFF"/>
      <name val="Roboto"/>
    </font>
    <font>
      <color rgb="FFFFFFFF"/>
      <name val="Roboto"/>
    </font>
    <font>
      <sz val="11.0"/>
      <color theme="1"/>
      <name val="Roboto"/>
    </font>
    <font>
      <sz val="12.0"/>
      <color theme="1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783F04"/>
        <bgColor rgb="FF783F04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5" fillId="0" fontId="3" numFmtId="0" xfId="0" applyBorder="1" applyFont="1"/>
    <xf borderId="6" fillId="0" fontId="3" numFmtId="0" xfId="0" applyBorder="1" applyFont="1"/>
    <xf borderId="1" fillId="5" fontId="7" numFmtId="0" xfId="0" applyAlignment="1" applyBorder="1" applyFill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6" numFmtId="0" xfId="0" applyAlignment="1" applyFont="1">
      <alignment horizontal="center"/>
    </xf>
    <xf borderId="1" fillId="6" fontId="10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1" fillId="5" fontId="4" numFmtId="4" xfId="0" applyAlignment="1" applyBorder="1" applyFont="1" applyNumberFormat="1">
      <alignment horizontal="center" readingOrder="0"/>
    </xf>
    <xf borderId="0" fillId="5" fontId="4" numFmtId="4" xfId="0" applyAlignment="1" applyFont="1" applyNumberFormat="1">
      <alignment horizontal="center" readingOrder="0"/>
    </xf>
    <xf borderId="1" fillId="5" fontId="11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0" fillId="0" fontId="13" numFmtId="0" xfId="0" applyAlignment="1" applyFont="1">
      <alignment horizontal="center" vertical="bottom"/>
    </xf>
    <xf borderId="1" fillId="5" fontId="5" numFmtId="0" xfId="0" applyAlignment="1" applyBorder="1" applyFont="1">
      <alignment horizontal="center"/>
    </xf>
    <xf borderId="1" fillId="5" fontId="8" numFmtId="0" xfId="0" applyAlignment="1" applyBorder="1" applyFont="1">
      <alignment horizontal="center"/>
    </xf>
    <xf borderId="0" fillId="0" fontId="13" numFmtId="0" xfId="0" applyAlignment="1" applyFont="1">
      <alignment horizontal="center" readingOrder="0" vertical="bottom"/>
    </xf>
    <xf borderId="1" fillId="5" fontId="5" numFmtId="4" xfId="0" applyAlignment="1" applyBorder="1" applyFont="1" applyNumberFormat="1">
      <alignment horizontal="center" readingOrder="0"/>
    </xf>
    <xf borderId="1" fillId="5" fontId="8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" fillId="2" fontId="4" numFmtId="4" xfId="0" applyAlignment="1" applyBorder="1" applyFont="1" applyNumberFormat="1">
      <alignment horizontal="center" readingOrder="0"/>
    </xf>
    <xf borderId="1" fillId="5" fontId="5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center" vertical="bottom"/>
    </xf>
    <xf borderId="1" fillId="4" fontId="8" numFmtId="0" xfId="0" applyAlignment="1" applyBorder="1" applyFont="1">
      <alignment horizontal="center"/>
    </xf>
    <xf borderId="1" fillId="5" fontId="7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2" fillId="4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" fillId="7" fontId="16" numFmtId="0" xfId="0" applyAlignment="1" applyBorder="1" applyFill="1" applyFont="1">
      <alignment horizontal="center" readingOrder="0" vertical="center"/>
    </xf>
    <xf borderId="0" fillId="0" fontId="4" numFmtId="0" xfId="0" applyFont="1"/>
    <xf borderId="1" fillId="8" fontId="17" numFmtId="0" xfId="0" applyAlignment="1" applyBorder="1" applyFill="1" applyFont="1">
      <alignment horizontal="center" readingOrder="0" vertical="center"/>
    </xf>
    <xf borderId="1" fillId="9" fontId="18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10" fontId="4" numFmtId="0" xfId="0" applyAlignment="1" applyFill="1" applyFont="1">
      <alignment horizontal="center" readingOrder="0"/>
    </xf>
    <xf borderId="1" fillId="11" fontId="4" numFmtId="0" xfId="0" applyAlignment="1" applyBorder="1" applyFill="1" applyFont="1">
      <alignment horizontal="center" readingOrder="0"/>
    </xf>
    <xf borderId="1" fillId="11" fontId="5" numFmtId="0" xfId="0" applyAlignment="1" applyBorder="1" applyFont="1">
      <alignment horizontal="center" readingOrder="0"/>
    </xf>
    <xf borderId="0" fillId="0" fontId="19" numFmtId="0" xfId="0" applyAlignment="1" applyFont="1">
      <alignment readingOrder="0"/>
    </xf>
    <xf borderId="1" fillId="12" fontId="4" numFmtId="0" xfId="0" applyAlignment="1" applyBorder="1" applyFill="1" applyFont="1">
      <alignment horizontal="center" readingOrder="0"/>
    </xf>
    <xf borderId="10" fillId="12" fontId="4" numFmtId="0" xfId="0" applyAlignment="1" applyBorder="1" applyFont="1">
      <alignment horizontal="center" readingOrder="0" vertical="center"/>
    </xf>
    <xf borderId="0" fillId="10" fontId="4" numFmtId="0" xfId="0" applyAlignment="1" applyFont="1">
      <alignment horizontal="center" vertical="bottom"/>
    </xf>
    <xf borderId="0" fillId="0" fontId="4" numFmtId="0" xfId="0" applyAlignment="1" applyFont="1">
      <alignment vertical="center"/>
    </xf>
    <xf borderId="0" fillId="0" fontId="19" numFmtId="0" xfId="0" applyAlignment="1" applyFont="1">
      <alignment readingOrder="0" vertical="center"/>
    </xf>
    <xf borderId="1" fillId="13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1" fillId="0" fontId="3" numFmtId="0" xfId="0" applyBorder="1" applyFont="1"/>
    <xf borderId="0" fillId="10" fontId="4" numFmtId="0" xfId="0" applyAlignment="1" applyFont="1">
      <alignment horizontal="center" vertical="bottom"/>
    </xf>
    <xf borderId="1" fillId="13" fontId="4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/>
    </xf>
    <xf borderId="0" fillId="14" fontId="18" numFmtId="0" xfId="0" applyAlignment="1" applyFill="1" applyFont="1">
      <alignment horizontal="center" readingOrder="0" vertical="center"/>
    </xf>
    <xf borderId="1" fillId="10" fontId="5" numFmtId="0" xfId="0" applyAlignment="1" applyBorder="1" applyFont="1">
      <alignment horizontal="center" readingOrder="0"/>
    </xf>
    <xf borderId="11" fillId="9" fontId="18" numFmtId="0" xfId="0" applyAlignment="1" applyBorder="1" applyFont="1">
      <alignment horizontal="center" readingOrder="0" vertical="center"/>
    </xf>
    <xf borderId="12" fillId="0" fontId="3" numFmtId="0" xfId="0" applyBorder="1" applyFont="1"/>
    <xf borderId="0" fillId="0" fontId="4" numFmtId="0" xfId="0" applyAlignment="1" applyFont="1">
      <alignment readingOrder="0"/>
    </xf>
    <xf borderId="10" fillId="12" fontId="20" numFmtId="0" xfId="0" applyAlignment="1" applyBorder="1" applyFont="1">
      <alignment horizontal="center" readingOrder="0" vertical="center"/>
    </xf>
    <xf borderId="1" fillId="15" fontId="4" numFmtId="0" xfId="0" applyAlignment="1" applyBorder="1" applyFill="1" applyFont="1">
      <alignment horizontal="center" readingOrder="0" vertical="center"/>
    </xf>
    <xf borderId="1" fillId="16" fontId="4" numFmtId="0" xfId="0" applyAlignment="1" applyBorder="1" applyFill="1" applyFont="1">
      <alignment horizontal="center" readingOrder="0" vertical="center"/>
    </xf>
    <xf borderId="10" fillId="15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1" fillId="16" fontId="4" numFmtId="0" xfId="0" applyAlignment="1" applyBorder="1" applyFont="1">
      <alignment horizontal="center"/>
    </xf>
    <xf borderId="1" fillId="16" fontId="4" numFmtId="0" xfId="0" applyBorder="1" applyFont="1"/>
    <xf borderId="1" fillId="11" fontId="4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0" fillId="7" fontId="17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vertical="bottom"/>
    </xf>
    <xf borderId="1" fillId="11" fontId="5" numFmtId="0" xfId="0" applyAlignment="1" applyBorder="1" applyFont="1">
      <alignment horizontal="center"/>
    </xf>
    <xf borderId="1" fillId="10" fontId="4" numFmtId="0" xfId="0" applyAlignment="1" applyBorder="1" applyFont="1">
      <alignment horizontal="center"/>
    </xf>
    <xf borderId="0" fillId="0" fontId="6" numFmtId="0" xfId="0" applyFont="1"/>
    <xf borderId="0" fillId="0" fontId="13" numFmtId="0" xfId="0" applyAlignment="1" applyFont="1">
      <alignment vertical="bottom"/>
    </xf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 vertical="center"/>
    </xf>
    <xf borderId="0" fillId="5" fontId="4" numFmtId="0" xfId="0" applyAlignment="1" applyFont="1">
      <alignment horizontal="center"/>
    </xf>
    <xf borderId="0" fillId="1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quipedia.net/valorant/VCT/2026/Americas_League/Stage_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88"/>
    <col customWidth="1" min="3" max="3" width="1.63"/>
    <col customWidth="1" min="4" max="4" width="15.63"/>
    <col customWidth="1" min="5" max="5" width="6.0"/>
    <col customWidth="1" min="6" max="6" width="20.13"/>
    <col customWidth="1" min="7" max="7" width="23.75"/>
    <col customWidth="1" min="8" max="8" width="7.13"/>
    <col customWidth="1" min="9" max="9" width="18.0"/>
    <col customWidth="1" min="10" max="10" width="25.5"/>
    <col customWidth="1" min="11" max="11" width="5.5"/>
    <col customWidth="1" min="12" max="12" width="18.38"/>
    <col customWidth="1" min="13" max="13" width="25.5"/>
    <col customWidth="1" min="14" max="14" width="5.75"/>
    <col customWidth="1" min="15" max="17" width="13.38"/>
    <col customWidth="1" min="18" max="18" width="13.5"/>
    <col customWidth="1" min="19" max="19" width="15.25"/>
    <col customWidth="1" min="20" max="20" width="12.0"/>
    <col customWidth="1" min="21" max="21" width="12.88"/>
    <col customWidth="1" min="22" max="22" width="14.0"/>
    <col customWidth="1" min="23" max="23" width="13.88"/>
  </cols>
  <sheetData>
    <row r="1">
      <c r="A1" s="1" t="s">
        <v>0</v>
      </c>
      <c r="B1" s="2" t="s">
        <v>1</v>
      </c>
      <c r="C1" s="3"/>
      <c r="D1" s="4"/>
      <c r="E1" s="5"/>
      <c r="F1" s="6" t="s">
        <v>2</v>
      </c>
      <c r="G1" s="6"/>
      <c r="H1" s="6"/>
      <c r="I1" s="6" t="s">
        <v>3</v>
      </c>
      <c r="J1" s="6"/>
      <c r="K1" s="6"/>
      <c r="L1" s="6" t="s">
        <v>4</v>
      </c>
      <c r="M1" s="6"/>
      <c r="N1" s="6"/>
      <c r="O1" s="7"/>
      <c r="P1" s="7"/>
      <c r="Q1" s="8"/>
      <c r="R1" s="8"/>
      <c r="S1" s="8"/>
      <c r="T1" s="8"/>
      <c r="U1" s="8"/>
      <c r="V1" s="8"/>
      <c r="W1" s="8"/>
    </row>
    <row r="2">
      <c r="A2" s="5"/>
      <c r="B2" s="9"/>
      <c r="D2" s="10"/>
      <c r="E2" s="5"/>
      <c r="F2" s="11" t="s">
        <v>5</v>
      </c>
      <c r="G2" s="12"/>
      <c r="H2" s="12"/>
      <c r="I2" s="11" t="s">
        <v>6</v>
      </c>
      <c r="J2" s="12"/>
      <c r="K2" s="12"/>
      <c r="L2" s="11" t="s">
        <v>7</v>
      </c>
      <c r="M2" s="12">
        <v>54.0</v>
      </c>
      <c r="N2" s="13"/>
      <c r="O2" s="14"/>
      <c r="P2" s="7"/>
    </row>
    <row r="3">
      <c r="A3" s="5"/>
      <c r="B3" s="15"/>
      <c r="C3" s="16"/>
      <c r="D3" s="17"/>
      <c r="E3" s="5"/>
      <c r="F3" s="13" t="s">
        <v>8</v>
      </c>
      <c r="G3" s="12"/>
      <c r="H3" s="12"/>
      <c r="I3" s="13" t="s">
        <v>9</v>
      </c>
      <c r="J3" s="12"/>
      <c r="K3" s="12"/>
      <c r="L3" s="13" t="s">
        <v>10</v>
      </c>
      <c r="M3" s="12"/>
      <c r="N3" s="13"/>
      <c r="O3" s="18"/>
      <c r="P3" s="7"/>
      <c r="T3" s="8"/>
    </row>
    <row r="4">
      <c r="A4" s="5"/>
      <c r="B4" s="19" t="s">
        <v>11</v>
      </c>
      <c r="C4" s="20"/>
      <c r="D4" s="19" t="s">
        <v>12</v>
      </c>
      <c r="E4" s="5"/>
      <c r="F4" s="13" t="s">
        <v>13</v>
      </c>
      <c r="G4" s="12">
        <v>75.0</v>
      </c>
      <c r="H4" s="12"/>
      <c r="I4" s="13" t="s">
        <v>14</v>
      </c>
      <c r="J4" s="12"/>
      <c r="K4" s="12"/>
      <c r="L4" s="13" t="s">
        <v>15</v>
      </c>
      <c r="M4" s="12">
        <v>53.5</v>
      </c>
      <c r="N4" s="13"/>
      <c r="O4" s="18"/>
      <c r="P4" s="7"/>
    </row>
    <row r="5">
      <c r="A5" s="5"/>
      <c r="B5" s="21" t="s">
        <v>16</v>
      </c>
      <c r="C5" s="5"/>
      <c r="D5" s="22">
        <v>228.5</v>
      </c>
      <c r="E5" s="5"/>
      <c r="F5" s="13" t="s">
        <v>17</v>
      </c>
      <c r="G5" s="12"/>
      <c r="H5" s="12"/>
      <c r="I5" s="13" t="s">
        <v>18</v>
      </c>
      <c r="J5" s="12"/>
      <c r="K5" s="12"/>
      <c r="L5" s="13" t="s">
        <v>19</v>
      </c>
      <c r="M5" s="12"/>
      <c r="N5" s="13"/>
      <c r="O5" s="18"/>
      <c r="P5" s="7"/>
    </row>
    <row r="6">
      <c r="A6" s="5"/>
      <c r="B6" s="21" t="s">
        <v>20</v>
      </c>
      <c r="C6" s="5"/>
      <c r="D6" s="23">
        <v>156.0</v>
      </c>
      <c r="E6" s="5"/>
      <c r="F6" s="13" t="s">
        <v>21</v>
      </c>
      <c r="G6" s="12">
        <v>72.0</v>
      </c>
      <c r="H6" s="12"/>
      <c r="I6" s="13" t="s">
        <v>22</v>
      </c>
      <c r="J6" s="12"/>
      <c r="K6" s="12"/>
      <c r="L6" s="13" t="s">
        <v>23</v>
      </c>
      <c r="M6" s="12"/>
      <c r="N6" s="13"/>
      <c r="O6" s="18"/>
      <c r="P6" s="7"/>
    </row>
    <row r="7">
      <c r="A7" s="5"/>
      <c r="B7" s="21" t="s">
        <v>24</v>
      </c>
      <c r="C7" s="5"/>
      <c r="D7" s="22">
        <v>147.0</v>
      </c>
      <c r="E7" s="5"/>
      <c r="F7" s="12" t="s">
        <v>25</v>
      </c>
      <c r="G7" s="24">
        <f t="shared" ref="G7:H7" si="1">SUM(G2:G6)</f>
        <v>147</v>
      </c>
      <c r="H7" s="24">
        <f t="shared" si="1"/>
        <v>0</v>
      </c>
      <c r="I7" s="12" t="s">
        <v>25</v>
      </c>
      <c r="J7" s="24">
        <f>SUM(J2:J6)</f>
        <v>0</v>
      </c>
      <c r="K7" s="24">
        <f>sum(K2:K6)</f>
        <v>0</v>
      </c>
      <c r="L7" s="12" t="s">
        <v>25</v>
      </c>
      <c r="M7" s="24">
        <f>sum(M2:M6)</f>
        <v>107.5</v>
      </c>
      <c r="N7" s="25">
        <f>SUM(N2:N6)</f>
        <v>0</v>
      </c>
      <c r="O7" s="26"/>
      <c r="P7" s="14"/>
    </row>
    <row r="8">
      <c r="A8" s="5"/>
      <c r="B8" s="21" t="s">
        <v>26</v>
      </c>
      <c r="C8" s="5"/>
      <c r="D8" s="22">
        <v>131.0</v>
      </c>
      <c r="E8" s="5"/>
      <c r="F8" s="27" t="s">
        <v>16</v>
      </c>
      <c r="G8" s="27" t="s">
        <v>27</v>
      </c>
      <c r="H8" s="27"/>
      <c r="I8" s="27" t="s">
        <v>28</v>
      </c>
      <c r="J8" s="27"/>
      <c r="K8" s="27"/>
      <c r="L8" s="27"/>
      <c r="M8" s="27"/>
      <c r="N8" s="6"/>
      <c r="O8" s="7"/>
      <c r="P8" s="7"/>
    </row>
    <row r="9">
      <c r="A9" s="5"/>
      <c r="B9" s="21" t="s">
        <v>4</v>
      </c>
      <c r="C9" s="5"/>
      <c r="D9" s="22">
        <v>107.5</v>
      </c>
      <c r="E9" s="5"/>
      <c r="F9" s="11" t="s">
        <v>29</v>
      </c>
      <c r="G9" s="12"/>
      <c r="H9" s="12"/>
      <c r="I9" s="11" t="s">
        <v>30</v>
      </c>
      <c r="J9" s="12"/>
      <c r="K9" s="12"/>
      <c r="L9" s="24"/>
      <c r="M9" s="12"/>
      <c r="N9" s="13"/>
      <c r="O9" s="28"/>
      <c r="P9" s="28"/>
    </row>
    <row r="10">
      <c r="A10" s="5"/>
      <c r="B10" s="21" t="s">
        <v>31</v>
      </c>
      <c r="C10" s="5"/>
      <c r="D10" s="22">
        <v>35.5</v>
      </c>
      <c r="E10" s="5"/>
      <c r="F10" s="29" t="s">
        <v>32</v>
      </c>
      <c r="G10" s="12">
        <v>90.5</v>
      </c>
      <c r="H10" s="12"/>
      <c r="I10" s="13" t="s">
        <v>33</v>
      </c>
      <c r="J10" s="12">
        <v>96.0</v>
      </c>
      <c r="K10" s="12"/>
      <c r="L10" s="30"/>
      <c r="M10" s="12"/>
      <c r="N10" s="13"/>
      <c r="O10" s="7"/>
      <c r="P10" s="31"/>
    </row>
    <row r="11">
      <c r="A11" s="5"/>
      <c r="B11" s="21" t="s">
        <v>3</v>
      </c>
      <c r="C11" s="5"/>
      <c r="D11" s="32"/>
      <c r="E11" s="5"/>
      <c r="F11" s="13" t="s">
        <v>34</v>
      </c>
      <c r="G11" s="12">
        <v>39.0</v>
      </c>
      <c r="H11" s="12"/>
      <c r="I11" s="13" t="s">
        <v>35</v>
      </c>
      <c r="J11" s="12"/>
      <c r="K11" s="12"/>
      <c r="L11" s="33"/>
      <c r="M11" s="12"/>
      <c r="N11" s="13"/>
      <c r="O11" s="14"/>
      <c r="P11" s="18"/>
    </row>
    <row r="12">
      <c r="A12" s="5"/>
      <c r="B12" s="34"/>
      <c r="C12" s="5"/>
      <c r="D12" s="35"/>
      <c r="E12" s="5"/>
      <c r="F12" s="13" t="s">
        <v>36</v>
      </c>
      <c r="G12" s="12"/>
      <c r="H12" s="12"/>
      <c r="I12" s="36" t="s">
        <v>37</v>
      </c>
      <c r="J12" s="12"/>
      <c r="K12" s="12"/>
      <c r="L12" s="30"/>
      <c r="M12" s="12"/>
      <c r="N12" s="13"/>
      <c r="O12" s="18"/>
      <c r="P12" s="18"/>
    </row>
    <row r="13">
      <c r="A13" s="5"/>
      <c r="B13" s="34"/>
      <c r="C13" s="5"/>
      <c r="D13" s="35"/>
      <c r="E13" s="5"/>
      <c r="F13" s="37" t="s">
        <v>38</v>
      </c>
      <c r="G13" s="12"/>
      <c r="H13" s="12"/>
      <c r="I13" s="13" t="s">
        <v>39</v>
      </c>
      <c r="J13" s="12">
        <v>60.0</v>
      </c>
      <c r="K13" s="12"/>
      <c r="L13" s="30"/>
      <c r="M13" s="12"/>
      <c r="N13" s="13"/>
      <c r="O13" s="18"/>
      <c r="P13" s="18"/>
    </row>
    <row r="14">
      <c r="A14" s="5"/>
      <c r="B14" s="34"/>
      <c r="C14" s="5"/>
      <c r="D14" s="34"/>
      <c r="E14" s="5"/>
      <c r="F14" s="12" t="s">
        <v>25</v>
      </c>
      <c r="G14" s="24">
        <f t="shared" ref="G14:H14" si="2">SUM(G9:G13)</f>
        <v>129.5</v>
      </c>
      <c r="H14" s="24">
        <f t="shared" si="2"/>
        <v>0</v>
      </c>
      <c r="I14" s="12" t="s">
        <v>25</v>
      </c>
      <c r="J14" s="24">
        <f t="shared" ref="J14:K14" si="3">SUM(J9:J13)</f>
        <v>156</v>
      </c>
      <c r="K14" s="24">
        <f t="shared" si="3"/>
        <v>0</v>
      </c>
      <c r="L14" s="12"/>
      <c r="M14" s="24"/>
      <c r="N14" s="25"/>
      <c r="O14" s="18"/>
      <c r="P14" s="18"/>
    </row>
    <row r="15">
      <c r="A15" s="5"/>
      <c r="B15" s="34"/>
      <c r="C15" s="5"/>
      <c r="D15" s="5"/>
      <c r="E15" s="5"/>
      <c r="F15" s="27" t="s">
        <v>26</v>
      </c>
      <c r="G15" s="38"/>
      <c r="H15" s="38"/>
      <c r="I15" s="27" t="s">
        <v>31</v>
      </c>
      <c r="J15" s="27"/>
      <c r="K15" s="27"/>
      <c r="L15" s="27"/>
      <c r="M15" s="27"/>
      <c r="N15" s="6"/>
      <c r="O15" s="18"/>
      <c r="P15" s="18"/>
    </row>
    <row r="16">
      <c r="A16" s="5"/>
      <c r="B16" s="34"/>
      <c r="C16" s="5"/>
      <c r="D16" s="5"/>
      <c r="E16" s="5"/>
      <c r="F16" s="11" t="s">
        <v>40</v>
      </c>
      <c r="G16" s="12"/>
      <c r="H16" s="12"/>
      <c r="I16" s="39" t="s">
        <v>41</v>
      </c>
      <c r="J16" s="12"/>
      <c r="K16" s="12"/>
      <c r="L16" s="40"/>
      <c r="M16" s="12"/>
      <c r="N16" s="13"/>
      <c r="O16" s="18"/>
      <c r="P16" s="18"/>
    </row>
    <row r="17">
      <c r="A17" s="5"/>
      <c r="B17" s="34"/>
      <c r="C17" s="5"/>
      <c r="D17" s="5"/>
      <c r="E17" s="5"/>
      <c r="F17" s="13" t="s">
        <v>42</v>
      </c>
      <c r="G17" s="12"/>
      <c r="H17" s="12"/>
      <c r="I17" s="41" t="s">
        <v>43</v>
      </c>
      <c r="J17" s="12"/>
      <c r="K17" s="12"/>
      <c r="L17" s="30"/>
      <c r="M17" s="12"/>
      <c r="N17" s="13"/>
      <c r="O17" s="18"/>
      <c r="P17" s="18"/>
    </row>
    <row r="18">
      <c r="A18" s="5"/>
      <c r="B18" s="5"/>
      <c r="C18" s="5"/>
      <c r="D18" s="5"/>
      <c r="E18" s="5"/>
      <c r="F18" s="13" t="s">
        <v>44</v>
      </c>
      <c r="G18" s="12">
        <v>93.5</v>
      </c>
      <c r="H18" s="12"/>
      <c r="I18" s="42" t="s">
        <v>45</v>
      </c>
      <c r="J18" s="12">
        <v>35.5</v>
      </c>
      <c r="K18" s="12"/>
      <c r="L18" s="24"/>
      <c r="M18" s="12"/>
      <c r="N18" s="13"/>
      <c r="O18" s="18"/>
      <c r="P18" s="18"/>
    </row>
    <row r="19">
      <c r="A19" s="5"/>
      <c r="B19" s="5"/>
      <c r="C19" s="5"/>
      <c r="D19" s="5"/>
      <c r="E19" s="5"/>
      <c r="F19" s="13" t="s">
        <v>46</v>
      </c>
      <c r="G19" s="12">
        <v>37.5</v>
      </c>
      <c r="H19" s="12"/>
      <c r="I19" s="13" t="s">
        <v>47</v>
      </c>
      <c r="J19" s="12"/>
      <c r="K19" s="12"/>
      <c r="L19" s="30"/>
      <c r="M19" s="12"/>
      <c r="N19" s="13"/>
      <c r="O19" s="18"/>
      <c r="P19" s="18"/>
    </row>
    <row r="20">
      <c r="A20" s="5"/>
      <c r="B20" s="5"/>
      <c r="C20" s="5"/>
      <c r="D20" s="5"/>
      <c r="E20" s="5"/>
      <c r="F20" s="13" t="s">
        <v>48</v>
      </c>
      <c r="G20" s="12"/>
      <c r="H20" s="12"/>
      <c r="I20" s="13" t="s">
        <v>49</v>
      </c>
      <c r="J20" s="12"/>
      <c r="K20" s="12"/>
      <c r="L20" s="30"/>
      <c r="M20" s="12"/>
      <c r="N20" s="13"/>
      <c r="O20" s="18"/>
      <c r="P20" s="18"/>
    </row>
    <row r="21">
      <c r="A21" s="5"/>
      <c r="B21" s="5"/>
      <c r="C21" s="5"/>
      <c r="D21" s="5"/>
      <c r="E21" s="5"/>
      <c r="F21" s="12" t="s">
        <v>25</v>
      </c>
      <c r="G21" s="24">
        <f>sum(G16:G20)</f>
        <v>131</v>
      </c>
      <c r="H21" s="24">
        <f>SUM(H16:H20)</f>
        <v>0</v>
      </c>
      <c r="I21" s="12" t="s">
        <v>25</v>
      </c>
      <c r="J21" s="24">
        <f t="shared" ref="J21:K21" si="4">SUM(J16:J20)</f>
        <v>35.5</v>
      </c>
      <c r="K21" s="24">
        <f t="shared" si="4"/>
        <v>0</v>
      </c>
      <c r="L21" s="12"/>
      <c r="M21" s="24"/>
      <c r="N21" s="25"/>
      <c r="O21" s="18"/>
      <c r="P21" s="18"/>
    </row>
    <row r="22">
      <c r="A22" s="43" t="s">
        <v>50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4"/>
      <c r="P22" s="44"/>
    </row>
    <row r="23">
      <c r="A23" s="9"/>
      <c r="N23" s="10"/>
      <c r="O23" s="44"/>
      <c r="P23" s="44"/>
    </row>
    <row r="24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  <c r="O24" s="44"/>
      <c r="P24" s="44"/>
    </row>
    <row r="27">
      <c r="I27" s="45"/>
      <c r="J27" s="18"/>
      <c r="K27" s="18"/>
    </row>
    <row r="28">
      <c r="F28" s="45"/>
      <c r="G28" s="18"/>
    </row>
  </sheetData>
  <mergeCells count="2">
    <mergeCell ref="B1:D3"/>
    <mergeCell ref="A22:N24"/>
  </mergeCells>
  <hyperlinks>
    <hyperlink r:id="rId1" ref="A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4.13"/>
    <col customWidth="1" min="3" max="3" width="16.0"/>
    <col customWidth="1" min="5" max="5" width="6.13"/>
    <col customWidth="1" min="6" max="6" width="50.88"/>
    <col customWidth="1" min="7" max="7" width="3.63"/>
    <col customWidth="1" min="8" max="8" width="76.75"/>
    <col customWidth="1" min="9" max="9" width="17.88"/>
  </cols>
  <sheetData>
    <row r="1" ht="30.75" customHeight="1">
      <c r="A1" s="46" t="s">
        <v>51</v>
      </c>
      <c r="B1" s="47"/>
      <c r="C1" s="48" t="s">
        <v>52</v>
      </c>
      <c r="D1" s="48" t="s">
        <v>12</v>
      </c>
      <c r="E1" s="47"/>
      <c r="F1" s="49" t="s">
        <v>53</v>
      </c>
      <c r="G1" s="50"/>
      <c r="H1" s="49" t="s">
        <v>54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>
      <c r="A2" s="51" t="s">
        <v>55</v>
      </c>
      <c r="B2" s="47"/>
      <c r="C2" s="52" t="s">
        <v>56</v>
      </c>
      <c r="D2" s="53">
        <v>99.0</v>
      </c>
      <c r="E2" s="54"/>
      <c r="F2" s="55" t="s">
        <v>57</v>
      </c>
      <c r="G2" s="45"/>
      <c r="H2" s="56" t="s">
        <v>58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ht="24.75" customHeight="1">
      <c r="A3" s="57" t="s">
        <v>59</v>
      </c>
      <c r="B3" s="58"/>
      <c r="C3" s="52" t="s">
        <v>60</v>
      </c>
      <c r="D3" s="53">
        <v>99.0</v>
      </c>
      <c r="E3" s="59"/>
      <c r="F3" s="60" t="s">
        <v>61</v>
      </c>
      <c r="G3" s="61"/>
      <c r="H3" s="62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>
      <c r="A4" s="63" t="s">
        <v>62</v>
      </c>
      <c r="B4" s="47"/>
      <c r="C4" s="52" t="s">
        <v>63</v>
      </c>
      <c r="D4" s="53">
        <v>99.0</v>
      </c>
      <c r="E4" s="54"/>
      <c r="F4" s="64" t="s">
        <v>64</v>
      </c>
      <c r="G4" s="45"/>
      <c r="H4" s="61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>
      <c r="A5" s="63" t="s">
        <v>65</v>
      </c>
      <c r="B5" s="47"/>
      <c r="C5" s="65" t="s">
        <v>66</v>
      </c>
      <c r="D5" s="53">
        <v>97.5</v>
      </c>
      <c r="E5" s="54"/>
      <c r="F5" s="64" t="s">
        <v>67</v>
      </c>
      <c r="G5" s="45"/>
      <c r="H5" s="66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>
      <c r="A6" s="67" t="s">
        <v>63</v>
      </c>
      <c r="B6" s="47"/>
      <c r="C6" s="52" t="s">
        <v>33</v>
      </c>
      <c r="D6" s="53">
        <v>96.0</v>
      </c>
      <c r="E6" s="54"/>
      <c r="F6" s="64" t="s">
        <v>68</v>
      </c>
      <c r="G6" s="45"/>
      <c r="H6" s="68" t="s">
        <v>69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>
      <c r="A7" s="57" t="s">
        <v>70</v>
      </c>
      <c r="B7" s="47"/>
      <c r="C7" s="52" t="s">
        <v>44</v>
      </c>
      <c r="D7" s="53">
        <v>93.5</v>
      </c>
      <c r="E7" s="54"/>
      <c r="F7" s="64" t="s">
        <v>71</v>
      </c>
      <c r="G7" s="45"/>
      <c r="H7" s="56" t="s">
        <v>72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>
      <c r="A8" s="57" t="s">
        <v>73</v>
      </c>
      <c r="B8" s="47"/>
      <c r="C8" s="65" t="s">
        <v>32</v>
      </c>
      <c r="D8" s="53">
        <v>90.5</v>
      </c>
      <c r="E8" s="54"/>
      <c r="F8" s="64" t="s">
        <v>74</v>
      </c>
      <c r="G8" s="45"/>
      <c r="H8" s="6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>
      <c r="A9" s="57" t="s">
        <v>75</v>
      </c>
      <c r="B9" s="47"/>
      <c r="C9" s="52" t="s">
        <v>13</v>
      </c>
      <c r="D9" s="53">
        <v>75.0</v>
      </c>
      <c r="E9" s="70"/>
      <c r="F9" s="64" t="s">
        <v>76</v>
      </c>
      <c r="G9" s="45"/>
      <c r="H9" s="62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>
      <c r="A10" s="63" t="s">
        <v>77</v>
      </c>
      <c r="B10" s="47"/>
      <c r="C10" s="52" t="s">
        <v>78</v>
      </c>
      <c r="D10" s="53">
        <v>75.0</v>
      </c>
      <c r="E10" s="54"/>
      <c r="F10" s="64" t="s">
        <v>79</v>
      </c>
      <c r="G10" s="45"/>
      <c r="H10" s="60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>
      <c r="A11" s="63" t="s">
        <v>80</v>
      </c>
      <c r="B11" s="47"/>
      <c r="C11" s="52" t="s">
        <v>81</v>
      </c>
      <c r="D11" s="53">
        <v>70.5</v>
      </c>
      <c r="E11" s="70"/>
      <c r="F11" s="45"/>
      <c r="G11" s="50"/>
      <c r="H11" s="71" t="s">
        <v>82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>
      <c r="A12" s="57" t="s">
        <v>83</v>
      </c>
      <c r="B12" s="47"/>
      <c r="C12" s="52" t="s">
        <v>39</v>
      </c>
      <c r="D12" s="53">
        <v>60.0</v>
      </c>
      <c r="E12" s="70"/>
      <c r="F12" s="49" t="s">
        <v>84</v>
      </c>
      <c r="G12" s="61"/>
      <c r="H12" s="69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>
      <c r="A13" s="51" t="s">
        <v>85</v>
      </c>
      <c r="B13" s="47"/>
      <c r="C13" s="52" t="s">
        <v>7</v>
      </c>
      <c r="D13" s="53">
        <v>54.0</v>
      </c>
      <c r="E13" s="47"/>
      <c r="F13" s="72" t="s">
        <v>86</v>
      </c>
      <c r="G13" s="61"/>
      <c r="H13" s="69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>
      <c r="A14" s="63" t="s">
        <v>87</v>
      </c>
      <c r="B14" s="47"/>
      <c r="C14" s="52" t="s">
        <v>15</v>
      </c>
      <c r="D14" s="53">
        <v>53.5</v>
      </c>
      <c r="E14" s="54"/>
      <c r="F14" s="73"/>
      <c r="G14" s="61"/>
      <c r="H14" s="69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>
      <c r="A15" s="63" t="s">
        <v>88</v>
      </c>
      <c r="B15" s="47"/>
      <c r="C15" s="52" t="s">
        <v>21</v>
      </c>
      <c r="D15" s="53">
        <v>42.0</v>
      </c>
      <c r="E15" s="70"/>
      <c r="F15" s="74" t="s">
        <v>89</v>
      </c>
      <c r="G15" s="61"/>
      <c r="H15" s="69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>
      <c r="A16" s="63" t="s">
        <v>90</v>
      </c>
      <c r="B16" s="47"/>
      <c r="C16" s="52" t="s">
        <v>34</v>
      </c>
      <c r="D16" s="53">
        <v>39.0</v>
      </c>
      <c r="E16" s="70"/>
      <c r="F16" s="62"/>
      <c r="G16" s="75"/>
      <c r="H16" s="69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>
      <c r="A17" s="63" t="s">
        <v>91</v>
      </c>
      <c r="B17" s="47"/>
      <c r="C17" s="52" t="s">
        <v>46</v>
      </c>
      <c r="D17" s="53">
        <v>37.5</v>
      </c>
      <c r="E17" s="54"/>
      <c r="F17" s="76"/>
      <c r="G17" s="45"/>
      <c r="H17" s="62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>
      <c r="A18" s="63" t="s">
        <v>92</v>
      </c>
      <c r="B18" s="47"/>
      <c r="C18" s="52" t="s">
        <v>45</v>
      </c>
      <c r="D18" s="53">
        <v>35.5</v>
      </c>
      <c r="E18" s="47"/>
      <c r="F18" s="74" t="s">
        <v>93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>
      <c r="A19" s="63" t="s">
        <v>94</v>
      </c>
      <c r="B19" s="47"/>
      <c r="C19" s="52" t="s">
        <v>95</v>
      </c>
      <c r="D19" s="53">
        <v>16.5</v>
      </c>
      <c r="E19" s="47"/>
      <c r="F19" s="62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>
      <c r="A20" s="63" t="s">
        <v>96</v>
      </c>
      <c r="B20" s="47"/>
      <c r="C20" s="52" t="s">
        <v>91</v>
      </c>
      <c r="D20" s="53">
        <v>15.0</v>
      </c>
      <c r="E20" s="47"/>
      <c r="F20" s="7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>
      <c r="A21" s="63" t="s">
        <v>97</v>
      </c>
      <c r="B21" s="47"/>
      <c r="C21" s="52" t="s">
        <v>90</v>
      </c>
      <c r="D21" s="53">
        <v>13.0</v>
      </c>
      <c r="E21" s="54"/>
      <c r="F21" s="72" t="s">
        <v>98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>
      <c r="A22" s="63" t="s">
        <v>99</v>
      </c>
      <c r="B22" s="47"/>
      <c r="C22" s="52" t="s">
        <v>40</v>
      </c>
      <c r="D22" s="53"/>
      <c r="E22" s="70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>
      <c r="A23" s="63" t="s">
        <v>100</v>
      </c>
      <c r="B23" s="47"/>
      <c r="C23" s="78" t="s">
        <v>41</v>
      </c>
      <c r="D23" s="79"/>
      <c r="E23" s="47"/>
      <c r="F23" s="13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>
      <c r="A24" s="63" t="s">
        <v>101</v>
      </c>
      <c r="B24" s="47"/>
      <c r="C24" s="52" t="s">
        <v>5</v>
      </c>
      <c r="D24" s="53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>
      <c r="A25" s="63" t="s">
        <v>81</v>
      </c>
      <c r="B25" s="47"/>
      <c r="C25" s="52" t="s">
        <v>8</v>
      </c>
      <c r="D25" s="53"/>
      <c r="E25" s="70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>
      <c r="A26" s="63" t="s">
        <v>60</v>
      </c>
      <c r="B26" s="47"/>
      <c r="C26" s="52" t="s">
        <v>22</v>
      </c>
      <c r="D26" s="53"/>
      <c r="E26" s="70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>
      <c r="A27" s="63" t="s">
        <v>78</v>
      </c>
      <c r="B27" s="47"/>
      <c r="C27" s="52" t="s">
        <v>43</v>
      </c>
      <c r="D27" s="53"/>
      <c r="E27" s="70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>
      <c r="A28" s="57" t="s">
        <v>66</v>
      </c>
      <c r="B28" s="47"/>
      <c r="C28" s="52" t="s">
        <v>30</v>
      </c>
      <c r="D28" s="53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>
      <c r="A29" s="80"/>
      <c r="B29" s="47"/>
      <c r="C29" s="52" t="s">
        <v>10</v>
      </c>
      <c r="D29" s="5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>
      <c r="A30" s="81" t="s">
        <v>102</v>
      </c>
      <c r="B30" s="47"/>
      <c r="C30" s="52" t="s">
        <v>42</v>
      </c>
      <c r="D30" s="5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>
      <c r="A31" s="62"/>
      <c r="B31" s="47"/>
      <c r="C31" s="52" t="s">
        <v>9</v>
      </c>
      <c r="D31" s="53"/>
      <c r="E31" s="70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>
      <c r="A32" s="82" t="s">
        <v>103</v>
      </c>
      <c r="B32" s="47"/>
      <c r="C32" s="52" t="s">
        <v>29</v>
      </c>
      <c r="D32" s="53"/>
      <c r="E32" s="54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>
      <c r="A33" s="82"/>
      <c r="B33" s="47"/>
      <c r="C33" s="52" t="s">
        <v>35</v>
      </c>
      <c r="D33" s="53"/>
      <c r="E33" s="70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>
      <c r="A34" s="82"/>
      <c r="B34" s="47"/>
      <c r="C34" s="52" t="s">
        <v>55</v>
      </c>
      <c r="D34" s="53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>
      <c r="A35" s="82"/>
      <c r="B35" s="47"/>
      <c r="C35" s="52" t="s">
        <v>47</v>
      </c>
      <c r="D35" s="53"/>
      <c r="E35" s="54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>
      <c r="A36" s="82"/>
      <c r="B36" s="47"/>
      <c r="C36" s="52" t="s">
        <v>59</v>
      </c>
      <c r="D36" s="53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>
      <c r="A37" s="82"/>
      <c r="B37" s="47"/>
      <c r="C37" s="52" t="s">
        <v>62</v>
      </c>
      <c r="D37" s="53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>
      <c r="A38" s="82"/>
      <c r="B38" s="47"/>
      <c r="C38" s="65" t="s">
        <v>65</v>
      </c>
      <c r="D38" s="53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>
      <c r="A39" s="82"/>
      <c r="B39" s="47"/>
      <c r="C39" s="52" t="s">
        <v>19</v>
      </c>
      <c r="D39" s="53"/>
      <c r="E39" s="70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>
      <c r="A40" s="82"/>
      <c r="B40" s="47"/>
      <c r="C40" s="52" t="s">
        <v>48</v>
      </c>
      <c r="D40" s="53"/>
      <c r="E40" s="54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>
      <c r="A41" s="82"/>
      <c r="B41" s="47"/>
      <c r="C41" s="52" t="s">
        <v>14</v>
      </c>
      <c r="D41" s="53"/>
      <c r="E41" s="54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>
      <c r="A42" s="82"/>
      <c r="B42" s="47"/>
      <c r="C42" s="78" t="s">
        <v>37</v>
      </c>
      <c r="D42" s="53"/>
      <c r="E42" s="54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>
      <c r="A43" s="82"/>
      <c r="B43" s="47"/>
      <c r="C43" s="52" t="s">
        <v>23</v>
      </c>
      <c r="D43" s="53"/>
      <c r="E43" s="54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>
      <c r="A44" s="82"/>
      <c r="B44" s="47"/>
      <c r="C44" s="52" t="s">
        <v>36</v>
      </c>
      <c r="D44" s="53"/>
      <c r="E44" s="54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>
      <c r="A45" s="82"/>
      <c r="B45" s="47"/>
      <c r="C45" s="52" t="s">
        <v>38</v>
      </c>
      <c r="D45" s="53"/>
      <c r="E45" s="70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>
      <c r="A46" s="82"/>
      <c r="B46" s="47"/>
      <c r="C46" s="52" t="s">
        <v>70</v>
      </c>
      <c r="D46" s="53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>
      <c r="A47" s="82"/>
      <c r="B47" s="47"/>
      <c r="C47" s="52" t="s">
        <v>73</v>
      </c>
      <c r="D47" s="53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>
      <c r="A48" s="82"/>
      <c r="B48" s="47"/>
      <c r="C48" s="52" t="s">
        <v>75</v>
      </c>
      <c r="D48" s="53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>
      <c r="A49" s="82"/>
      <c r="B49" s="47"/>
      <c r="C49" s="52" t="s">
        <v>49</v>
      </c>
      <c r="D49" s="53"/>
      <c r="E49" s="54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>
      <c r="A50" s="82"/>
      <c r="B50" s="47"/>
      <c r="C50" s="52" t="s">
        <v>17</v>
      </c>
      <c r="D50" s="53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>
      <c r="A51" s="82"/>
      <c r="B51" s="47"/>
      <c r="C51" s="52" t="s">
        <v>18</v>
      </c>
      <c r="D51" s="53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>
      <c r="A52" s="82"/>
      <c r="B52" s="47"/>
      <c r="C52" s="83" t="s">
        <v>77</v>
      </c>
      <c r="D52" s="53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>
      <c r="A53" s="82"/>
      <c r="B53" s="47"/>
      <c r="C53" s="65" t="s">
        <v>80</v>
      </c>
      <c r="D53" s="53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>
      <c r="A54" s="82"/>
      <c r="B54" s="47"/>
      <c r="C54" s="52" t="s">
        <v>83</v>
      </c>
      <c r="D54" s="53"/>
      <c r="E54" s="54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>
      <c r="A55" s="82"/>
      <c r="B55" s="47"/>
      <c r="C55" s="52" t="s">
        <v>6</v>
      </c>
      <c r="D55" s="53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>
      <c r="A56" s="82"/>
      <c r="B56" s="47"/>
      <c r="C56" s="52" t="s">
        <v>85</v>
      </c>
      <c r="D56" s="53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>
      <c r="A57" s="82"/>
      <c r="B57" s="47"/>
      <c r="C57" s="52" t="s">
        <v>87</v>
      </c>
      <c r="D57" s="53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>
      <c r="A58" s="82"/>
      <c r="B58" s="47"/>
      <c r="C58" s="65" t="s">
        <v>88</v>
      </c>
      <c r="D58" s="53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>
      <c r="A59" s="82"/>
      <c r="B59" s="47"/>
      <c r="C59" s="52" t="s">
        <v>92</v>
      </c>
      <c r="D59" s="53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>
      <c r="A60" s="82"/>
      <c r="B60" s="47"/>
      <c r="C60" s="65" t="s">
        <v>94</v>
      </c>
      <c r="D60" s="53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>
      <c r="A61" s="82"/>
      <c r="B61" s="47"/>
      <c r="C61" s="52" t="s">
        <v>96</v>
      </c>
      <c r="D61" s="53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>
      <c r="A62" s="82"/>
      <c r="B62" s="47"/>
      <c r="C62" s="52" t="s">
        <v>97</v>
      </c>
      <c r="D62" s="53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>
      <c r="A63" s="82"/>
      <c r="B63" s="47"/>
      <c r="C63" s="65" t="s">
        <v>99</v>
      </c>
      <c r="D63" s="53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>
      <c r="A64" s="82"/>
      <c r="B64" s="47"/>
      <c r="C64" s="52" t="s">
        <v>100</v>
      </c>
      <c r="D64" s="84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>
      <c r="A65" s="82"/>
      <c r="B65" s="47"/>
      <c r="C65" s="52" t="s">
        <v>101</v>
      </c>
      <c r="D65" s="84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>
      <c r="A66" s="82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>
      <c r="A67" s="82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>
      <c r="A68" s="85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>
      <c r="A69" s="85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>
      <c r="A70" s="85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>
      <c r="A71" s="85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>
      <c r="A72" s="85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>
      <c r="A73" s="85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>
      <c r="A74" s="85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>
      <c r="A75" s="85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>
      <c r="A76" s="85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>
      <c r="A77" s="85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>
      <c r="A78" s="85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>
      <c r="A79" s="85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>
      <c r="A80" s="85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>
      <c r="A81" s="85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>
      <c r="A82" s="85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>
      <c r="A83" s="85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>
      <c r="A84" s="85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>
      <c r="A85" s="8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>
      <c r="A945" s="47"/>
      <c r="B945" s="47"/>
      <c r="C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>
      <c r="A946" s="47"/>
      <c r="B946" s="47"/>
      <c r="C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>
      <c r="A947" s="47"/>
      <c r="B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>
      <c r="A948" s="47"/>
      <c r="B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>
      <c r="A949" s="47"/>
      <c r="B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>
      <c r="A950" s="47"/>
      <c r="B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>
      <c r="A951" s="47"/>
      <c r="B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>
      <c r="A952" s="47"/>
      <c r="B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>
      <c r="A953" s="47"/>
      <c r="B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>
      <c r="A954" s="47"/>
      <c r="B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>
      <c r="A955" s="47"/>
      <c r="B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>
      <c r="A956" s="47"/>
      <c r="B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>
      <c r="A957" s="47"/>
      <c r="B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>
      <c r="A958" s="47"/>
      <c r="B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>
      <c r="A959" s="47"/>
      <c r="B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>
      <c r="A960" s="47"/>
      <c r="B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>
      <c r="A961" s="47"/>
      <c r="B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</sheetData>
  <mergeCells count="6">
    <mergeCell ref="H2:H3"/>
    <mergeCell ref="H7:H9"/>
    <mergeCell ref="H11:H17"/>
    <mergeCell ref="F15:F16"/>
    <mergeCell ref="F18:F19"/>
    <mergeCell ref="A30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5.88"/>
    <col customWidth="1" min="4" max="4" width="17.88"/>
    <col customWidth="1" min="6" max="6" width="17.88"/>
  </cols>
  <sheetData>
    <row r="1">
      <c r="A1" s="8" t="s">
        <v>104</v>
      </c>
      <c r="B1" s="8" t="s">
        <v>105</v>
      </c>
    </row>
    <row r="2">
      <c r="A2" s="8" t="s">
        <v>106</v>
      </c>
      <c r="B2" s="8">
        <v>1.0</v>
      </c>
      <c r="C2" s="8" t="s">
        <v>4</v>
      </c>
    </row>
    <row r="3">
      <c r="A3" s="86" t="s">
        <v>107</v>
      </c>
      <c r="B3" s="86">
        <v>2.0</v>
      </c>
      <c r="C3" s="8" t="s">
        <v>16</v>
      </c>
    </row>
    <row r="4">
      <c r="A4" s="86" t="s">
        <v>108</v>
      </c>
      <c r="B4" s="86">
        <v>3.0</v>
      </c>
      <c r="C4" s="8" t="s">
        <v>109</v>
      </c>
    </row>
    <row r="5">
      <c r="A5" s="86" t="s">
        <v>110</v>
      </c>
      <c r="B5" s="86">
        <v>4.0</v>
      </c>
      <c r="C5" s="8" t="s">
        <v>111</v>
      </c>
    </row>
    <row r="6">
      <c r="A6" s="86" t="s">
        <v>112</v>
      </c>
      <c r="B6" s="86">
        <v>5.0</v>
      </c>
      <c r="C6" s="8" t="s">
        <v>113</v>
      </c>
    </row>
    <row r="7">
      <c r="A7" s="86" t="s">
        <v>114</v>
      </c>
      <c r="B7" s="86">
        <v>6.0</v>
      </c>
      <c r="C7" s="8" t="s">
        <v>28</v>
      </c>
    </row>
    <row r="8">
      <c r="A8" s="86" t="s">
        <v>115</v>
      </c>
      <c r="B8" s="86">
        <v>7.0</v>
      </c>
      <c r="C8" s="8" t="s">
        <v>116</v>
      </c>
    </row>
    <row r="9">
      <c r="A9" s="86" t="s">
        <v>117</v>
      </c>
      <c r="B9" s="86">
        <v>8.0</v>
      </c>
      <c r="C9" s="8" t="s">
        <v>3</v>
      </c>
    </row>
    <row r="10">
      <c r="A10" s="86" t="s">
        <v>118</v>
      </c>
      <c r="B10" s="86">
        <v>9.0</v>
      </c>
      <c r="C10" s="8" t="s">
        <v>4</v>
      </c>
    </row>
    <row r="11">
      <c r="A11" s="86" t="s">
        <v>119</v>
      </c>
      <c r="B11" s="86">
        <v>10.0</v>
      </c>
      <c r="C11" s="8" t="s">
        <v>16</v>
      </c>
    </row>
    <row r="12">
      <c r="A12" s="86" t="s">
        <v>120</v>
      </c>
      <c r="B12" s="86">
        <v>11.0</v>
      </c>
      <c r="C12" s="8" t="s">
        <v>109</v>
      </c>
    </row>
    <row r="13">
      <c r="A13" s="86" t="s">
        <v>121</v>
      </c>
      <c r="B13" s="86">
        <v>12.0</v>
      </c>
      <c r="C13" s="8" t="s">
        <v>111</v>
      </c>
    </row>
    <row r="14">
      <c r="A14" s="86" t="s">
        <v>122</v>
      </c>
      <c r="B14" s="86">
        <v>13.0</v>
      </c>
      <c r="C14" s="8" t="s">
        <v>123</v>
      </c>
    </row>
    <row r="15">
      <c r="A15" s="86" t="s">
        <v>124</v>
      </c>
      <c r="B15" s="86">
        <v>14.0</v>
      </c>
      <c r="C15" s="8" t="s">
        <v>26</v>
      </c>
    </row>
    <row r="16">
      <c r="A16" s="86" t="s">
        <v>125</v>
      </c>
      <c r="B16" s="86">
        <v>15.0</v>
      </c>
      <c r="C16" s="8" t="s">
        <v>113</v>
      </c>
    </row>
    <row r="17">
      <c r="A17" s="8" t="s">
        <v>126</v>
      </c>
      <c r="B17" s="86">
        <v>16.0</v>
      </c>
      <c r="C17" s="8" t="s">
        <v>28</v>
      </c>
    </row>
    <row r="18">
      <c r="A18" s="86" t="s">
        <v>32</v>
      </c>
      <c r="B18" s="86">
        <v>17.0</v>
      </c>
      <c r="C18" s="8" t="s">
        <v>3</v>
      </c>
    </row>
    <row r="19">
      <c r="A19" s="86" t="s">
        <v>127</v>
      </c>
      <c r="B19" s="86">
        <v>18.0</v>
      </c>
      <c r="C19" s="8" t="s">
        <v>116</v>
      </c>
    </row>
    <row r="20">
      <c r="A20" s="86" t="s">
        <v>128</v>
      </c>
      <c r="B20" s="86">
        <v>19.0</v>
      </c>
      <c r="C20" s="8" t="s">
        <v>4</v>
      </c>
    </row>
    <row r="21">
      <c r="A21" s="86" t="s">
        <v>129</v>
      </c>
      <c r="B21" s="86">
        <v>20.0</v>
      </c>
      <c r="C21" s="8" t="s">
        <v>28</v>
      </c>
    </row>
    <row r="22">
      <c r="A22" s="86" t="s">
        <v>130</v>
      </c>
      <c r="B22" s="86">
        <v>21.0</v>
      </c>
      <c r="C22" s="8" t="s">
        <v>123</v>
      </c>
    </row>
    <row r="23">
      <c r="A23" s="86" t="s">
        <v>88</v>
      </c>
      <c r="B23" s="86">
        <v>22.0</v>
      </c>
      <c r="C23" s="8" t="s">
        <v>16</v>
      </c>
    </row>
    <row r="24">
      <c r="A24" s="86" t="s">
        <v>131</v>
      </c>
      <c r="B24" s="86">
        <v>23.0</v>
      </c>
      <c r="C24" s="8" t="s">
        <v>3</v>
      </c>
    </row>
    <row r="25">
      <c r="A25" s="86" t="s">
        <v>132</v>
      </c>
      <c r="B25" s="86">
        <v>24.0</v>
      </c>
      <c r="C25" s="8" t="s">
        <v>109</v>
      </c>
    </row>
    <row r="26">
      <c r="A26" s="86" t="s">
        <v>133</v>
      </c>
      <c r="B26" s="86">
        <v>25.0</v>
      </c>
      <c r="C26" s="8" t="s">
        <v>111</v>
      </c>
    </row>
    <row r="27">
      <c r="A27" s="86" t="s">
        <v>134</v>
      </c>
      <c r="B27" s="86">
        <v>26.0</v>
      </c>
      <c r="C27" s="8" t="s">
        <v>26</v>
      </c>
    </row>
    <row r="28">
      <c r="A28" s="86" t="s">
        <v>135</v>
      </c>
      <c r="B28" s="86">
        <v>27.0</v>
      </c>
      <c r="C28" s="8" t="s">
        <v>136</v>
      </c>
    </row>
    <row r="29">
      <c r="A29" s="86" t="s">
        <v>77</v>
      </c>
      <c r="B29" s="86">
        <v>28.0</v>
      </c>
      <c r="C29" s="8" t="s">
        <v>136</v>
      </c>
    </row>
    <row r="30">
      <c r="A30" s="86" t="s">
        <v>94</v>
      </c>
      <c r="B30" s="86">
        <v>29.0</v>
      </c>
      <c r="C30" s="8" t="s">
        <v>113</v>
      </c>
    </row>
    <row r="31">
      <c r="A31" s="86" t="s">
        <v>137</v>
      </c>
      <c r="B31" s="86">
        <v>30.0</v>
      </c>
      <c r="C31" s="8" t="s">
        <v>26</v>
      </c>
      <c r="D31" s="87"/>
    </row>
    <row r="32">
      <c r="A32" s="86" t="s">
        <v>138</v>
      </c>
      <c r="B32" s="86">
        <v>31.0</v>
      </c>
      <c r="C32" s="8" t="s">
        <v>4</v>
      </c>
      <c r="D32" s="87"/>
    </row>
    <row r="33">
      <c r="A33" s="86" t="s">
        <v>139</v>
      </c>
      <c r="B33" s="86">
        <v>32.0</v>
      </c>
      <c r="C33" s="8" t="s">
        <v>16</v>
      </c>
      <c r="D33" s="87"/>
    </row>
    <row r="34">
      <c r="A34" s="86" t="s">
        <v>140</v>
      </c>
      <c r="B34" s="86">
        <v>33.0</v>
      </c>
      <c r="C34" s="8" t="s">
        <v>116</v>
      </c>
      <c r="D34" s="87"/>
    </row>
    <row r="35">
      <c r="A35" s="86" t="s">
        <v>141</v>
      </c>
      <c r="B35" s="86">
        <v>34.0</v>
      </c>
      <c r="C35" s="8" t="s">
        <v>109</v>
      </c>
      <c r="D35" s="87"/>
    </row>
    <row r="36">
      <c r="A36" s="86" t="s">
        <v>142</v>
      </c>
      <c r="B36" s="8">
        <v>35.0</v>
      </c>
      <c r="C36" s="8" t="s">
        <v>111</v>
      </c>
      <c r="D36" s="87"/>
    </row>
    <row r="37">
      <c r="A37" s="86" t="s">
        <v>143</v>
      </c>
      <c r="B37" s="86">
        <v>36.0</v>
      </c>
      <c r="C37" s="8" t="s">
        <v>123</v>
      </c>
      <c r="D37" s="87"/>
    </row>
    <row r="38">
      <c r="A38" s="86" t="s">
        <v>99</v>
      </c>
      <c r="B38" s="86">
        <v>37.0</v>
      </c>
      <c r="C38" s="8" t="s">
        <v>113</v>
      </c>
      <c r="D38" s="87"/>
    </row>
    <row r="39">
      <c r="A39" s="86" t="s">
        <v>144</v>
      </c>
      <c r="B39" s="86">
        <v>38.0</v>
      </c>
      <c r="C39" s="8" t="s">
        <v>4</v>
      </c>
      <c r="D39" s="87"/>
    </row>
    <row r="40">
      <c r="A40" s="86" t="s">
        <v>145</v>
      </c>
      <c r="B40" s="86">
        <v>39.0</v>
      </c>
      <c r="C40" s="8" t="s">
        <v>136</v>
      </c>
      <c r="D40" s="87"/>
    </row>
    <row r="41">
      <c r="A41" s="86" t="s">
        <v>66</v>
      </c>
      <c r="B41" s="86">
        <v>40.0</v>
      </c>
      <c r="C41" s="8" t="s">
        <v>16</v>
      </c>
      <c r="D41" s="87"/>
    </row>
    <row r="42">
      <c r="A42" s="86" t="s">
        <v>146</v>
      </c>
      <c r="B42" s="86">
        <v>41.0</v>
      </c>
      <c r="C42" s="8" t="s">
        <v>109</v>
      </c>
      <c r="D42" s="87"/>
    </row>
    <row r="43">
      <c r="A43" s="86" t="s">
        <v>147</v>
      </c>
      <c r="B43" s="86">
        <v>42.0</v>
      </c>
      <c r="C43" s="8" t="s">
        <v>136</v>
      </c>
      <c r="D43" s="87"/>
    </row>
    <row r="44">
      <c r="A44" s="86" t="s">
        <v>148</v>
      </c>
      <c r="B44" s="86">
        <v>43.0</v>
      </c>
      <c r="C44" s="8" t="s">
        <v>111</v>
      </c>
      <c r="D44" s="87"/>
    </row>
    <row r="45">
      <c r="A45" s="86" t="s">
        <v>65</v>
      </c>
      <c r="B45" s="86">
        <v>44.0</v>
      </c>
      <c r="C45" s="8" t="s">
        <v>113</v>
      </c>
      <c r="D45" s="87"/>
    </row>
    <row r="46">
      <c r="A46" s="86" t="s">
        <v>149</v>
      </c>
      <c r="B46" s="86">
        <v>45.0</v>
      </c>
      <c r="C46" s="8" t="s">
        <v>3</v>
      </c>
      <c r="D46" s="87"/>
    </row>
    <row r="47">
      <c r="A47" s="86" t="s">
        <v>150</v>
      </c>
      <c r="B47" s="86">
        <v>45.0</v>
      </c>
      <c r="C47" s="8" t="s">
        <v>26</v>
      </c>
      <c r="D47" s="87"/>
    </row>
    <row r="48">
      <c r="A48" s="86" t="s">
        <v>151</v>
      </c>
      <c r="B48" s="86">
        <v>46.0</v>
      </c>
      <c r="C48" s="8" t="s">
        <v>123</v>
      </c>
    </row>
    <row r="49">
      <c r="A49" s="86" t="s">
        <v>152</v>
      </c>
      <c r="B49" s="86">
        <v>47.0</v>
      </c>
      <c r="C49" s="8" t="s">
        <v>116</v>
      </c>
    </row>
    <row r="50">
      <c r="A50" s="86" t="s">
        <v>153</v>
      </c>
      <c r="B50" s="86">
        <v>48.0</v>
      </c>
      <c r="C50" s="8" t="s">
        <v>28</v>
      </c>
    </row>
    <row r="51">
      <c r="A51" s="86" t="s">
        <v>154</v>
      </c>
      <c r="B51" s="86">
        <v>49.0</v>
      </c>
      <c r="C51" s="8" t="s">
        <v>3</v>
      </c>
    </row>
    <row r="52">
      <c r="A52" s="86" t="s">
        <v>155</v>
      </c>
      <c r="B52" s="86">
        <v>50.0</v>
      </c>
      <c r="C52" s="8" t="s">
        <v>26</v>
      </c>
    </row>
    <row r="53">
      <c r="A53" s="86" t="s">
        <v>156</v>
      </c>
      <c r="B53" s="86">
        <v>51.0</v>
      </c>
      <c r="C53" s="8" t="s">
        <v>116</v>
      </c>
    </row>
    <row r="54">
      <c r="A54" s="86" t="s">
        <v>157</v>
      </c>
      <c r="B54" s="86">
        <v>52.0</v>
      </c>
    </row>
    <row r="55">
      <c r="A55" s="86" t="s">
        <v>158</v>
      </c>
      <c r="B55" s="86">
        <v>53.0</v>
      </c>
      <c r="C55" s="8" t="s">
        <v>123</v>
      </c>
    </row>
    <row r="56">
      <c r="A56" s="86" t="s">
        <v>159</v>
      </c>
      <c r="B56" s="86">
        <v>54.0</v>
      </c>
      <c r="C56" s="8" t="s">
        <v>28</v>
      </c>
    </row>
    <row r="57">
      <c r="A57" s="86" t="s">
        <v>160</v>
      </c>
      <c r="B57" s="86">
        <v>55.0</v>
      </c>
      <c r="C57" s="8" t="s">
        <v>136</v>
      </c>
    </row>
    <row r="58">
      <c r="A58" s="86" t="s">
        <v>80</v>
      </c>
      <c r="B58" s="86">
        <v>56.0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7" t="s">
        <v>104</v>
      </c>
      <c r="B1" s="7" t="s">
        <v>161</v>
      </c>
      <c r="D1" s="8" t="s">
        <v>162</v>
      </c>
    </row>
    <row r="2">
      <c r="A2" s="88" t="s">
        <v>40</v>
      </c>
      <c r="B2" s="8" t="s">
        <v>26</v>
      </c>
      <c r="D2" s="8" t="s">
        <v>26</v>
      </c>
    </row>
    <row r="3">
      <c r="A3" s="89" t="s">
        <v>41</v>
      </c>
      <c r="B3" s="8" t="s">
        <v>31</v>
      </c>
      <c r="D3" s="8" t="s">
        <v>31</v>
      </c>
    </row>
    <row r="4">
      <c r="A4" s="88" t="s">
        <v>5</v>
      </c>
      <c r="B4" s="8" t="s">
        <v>24</v>
      </c>
      <c r="D4" s="8" t="s">
        <v>24</v>
      </c>
    </row>
    <row r="5">
      <c r="A5" s="88" t="s">
        <v>33</v>
      </c>
      <c r="B5" s="8" t="s">
        <v>28</v>
      </c>
      <c r="D5" s="8" t="s">
        <v>4</v>
      </c>
    </row>
    <row r="6">
      <c r="A6" s="88" t="s">
        <v>7</v>
      </c>
      <c r="B6" s="8" t="s">
        <v>4</v>
      </c>
      <c r="D6" s="8" t="s">
        <v>16</v>
      </c>
    </row>
    <row r="7">
      <c r="A7" s="88" t="s">
        <v>8</v>
      </c>
      <c r="B7" s="8" t="s">
        <v>24</v>
      </c>
      <c r="D7" s="8" t="s">
        <v>28</v>
      </c>
    </row>
    <row r="8">
      <c r="A8" s="88" t="s">
        <v>22</v>
      </c>
      <c r="B8" s="8" t="s">
        <v>3</v>
      </c>
      <c r="D8" s="8" t="s">
        <v>3</v>
      </c>
    </row>
    <row r="9">
      <c r="A9" s="88" t="s">
        <v>43</v>
      </c>
      <c r="B9" s="8" t="s">
        <v>31</v>
      </c>
    </row>
    <row r="10">
      <c r="A10" s="88" t="s">
        <v>45</v>
      </c>
      <c r="B10" s="8" t="s">
        <v>31</v>
      </c>
    </row>
    <row r="11">
      <c r="A11" s="88" t="s">
        <v>30</v>
      </c>
      <c r="B11" s="8" t="s">
        <v>28</v>
      </c>
    </row>
    <row r="12">
      <c r="A12" s="88" t="s">
        <v>34</v>
      </c>
      <c r="B12" s="8" t="s">
        <v>16</v>
      </c>
    </row>
    <row r="13">
      <c r="A13" s="88" t="s">
        <v>10</v>
      </c>
      <c r="B13" s="8" t="s">
        <v>4</v>
      </c>
    </row>
    <row r="14">
      <c r="A14" s="90" t="s">
        <v>32</v>
      </c>
      <c r="B14" s="8" t="s">
        <v>16</v>
      </c>
    </row>
    <row r="15">
      <c r="A15" s="88" t="s">
        <v>42</v>
      </c>
      <c r="B15" s="8" t="s">
        <v>26</v>
      </c>
    </row>
    <row r="16">
      <c r="A16" s="88" t="s">
        <v>15</v>
      </c>
      <c r="B16" s="8" t="s">
        <v>4</v>
      </c>
    </row>
    <row r="17">
      <c r="A17" s="88" t="s">
        <v>44</v>
      </c>
      <c r="B17" s="8" t="s">
        <v>26</v>
      </c>
    </row>
    <row r="18">
      <c r="A18" s="88" t="s">
        <v>9</v>
      </c>
      <c r="B18" s="8" t="s">
        <v>3</v>
      </c>
    </row>
    <row r="19">
      <c r="A19" s="88" t="s">
        <v>29</v>
      </c>
      <c r="B19" s="8" t="s">
        <v>16</v>
      </c>
    </row>
    <row r="20">
      <c r="A20" s="88" t="s">
        <v>35</v>
      </c>
      <c r="B20" s="8" t="s">
        <v>28</v>
      </c>
    </row>
    <row r="21">
      <c r="A21" s="51" t="s">
        <v>55</v>
      </c>
      <c r="B21" s="18"/>
    </row>
    <row r="22">
      <c r="A22" s="88" t="s">
        <v>47</v>
      </c>
      <c r="B22" s="8" t="s">
        <v>31</v>
      </c>
    </row>
    <row r="23">
      <c r="A23" s="51" t="s">
        <v>59</v>
      </c>
      <c r="B23" s="18"/>
    </row>
    <row r="24">
      <c r="A24" s="51" t="s">
        <v>62</v>
      </c>
      <c r="B24" s="18"/>
    </row>
    <row r="25">
      <c r="A25" s="91" t="s">
        <v>65</v>
      </c>
      <c r="B25" s="18"/>
    </row>
    <row r="26">
      <c r="A26" s="88" t="s">
        <v>19</v>
      </c>
      <c r="B26" s="8" t="s">
        <v>4</v>
      </c>
    </row>
    <row r="27">
      <c r="A27" s="88" t="s">
        <v>13</v>
      </c>
      <c r="B27" s="8" t="s">
        <v>24</v>
      </c>
    </row>
    <row r="28">
      <c r="A28" s="88" t="s">
        <v>48</v>
      </c>
      <c r="B28" s="7" t="s">
        <v>26</v>
      </c>
    </row>
    <row r="29">
      <c r="A29" s="88" t="s">
        <v>14</v>
      </c>
      <c r="B29" s="8" t="s">
        <v>3</v>
      </c>
    </row>
    <row r="30">
      <c r="A30" s="89" t="s">
        <v>37</v>
      </c>
      <c r="B30" s="8" t="s">
        <v>28</v>
      </c>
    </row>
    <row r="31">
      <c r="A31" s="88" t="s">
        <v>23</v>
      </c>
      <c r="B31" s="8" t="s">
        <v>4</v>
      </c>
      <c r="C31" s="8" t="s">
        <v>163</v>
      </c>
    </row>
    <row r="32">
      <c r="A32" s="88" t="s">
        <v>56</v>
      </c>
      <c r="B32" s="18"/>
    </row>
    <row r="33">
      <c r="A33" s="88" t="s">
        <v>39</v>
      </c>
      <c r="B33" s="8" t="s">
        <v>28</v>
      </c>
    </row>
    <row r="34">
      <c r="A34" s="88" t="s">
        <v>36</v>
      </c>
      <c r="B34" s="8" t="s">
        <v>16</v>
      </c>
    </row>
    <row r="35">
      <c r="A35" s="51" t="s">
        <v>38</v>
      </c>
      <c r="B35" s="18"/>
    </row>
    <row r="36">
      <c r="A36" s="51" t="s">
        <v>70</v>
      </c>
      <c r="B36" s="18"/>
    </row>
    <row r="37">
      <c r="A37" s="51" t="s">
        <v>73</v>
      </c>
      <c r="B37" s="18"/>
    </row>
    <row r="38">
      <c r="A38" s="51" t="s">
        <v>75</v>
      </c>
      <c r="B38" s="18"/>
    </row>
    <row r="39">
      <c r="A39" s="88" t="s">
        <v>49</v>
      </c>
      <c r="B39" s="8" t="s">
        <v>31</v>
      </c>
      <c r="C39" s="8" t="s">
        <v>163</v>
      </c>
    </row>
    <row r="40">
      <c r="A40" s="88" t="s">
        <v>17</v>
      </c>
      <c r="B40" s="8" t="s">
        <v>24</v>
      </c>
    </row>
    <row r="41">
      <c r="A41" s="88" t="s">
        <v>21</v>
      </c>
      <c r="B41" s="8" t="s">
        <v>24</v>
      </c>
    </row>
    <row r="42">
      <c r="A42" s="88" t="s">
        <v>18</v>
      </c>
      <c r="B42" s="8" t="s">
        <v>3</v>
      </c>
    </row>
    <row r="43">
      <c r="A43" s="57" t="s">
        <v>77</v>
      </c>
      <c r="B43" s="18"/>
    </row>
    <row r="44">
      <c r="A44" s="91" t="s">
        <v>80</v>
      </c>
      <c r="B44" s="18"/>
    </row>
    <row r="45">
      <c r="A45" s="51" t="s">
        <v>83</v>
      </c>
      <c r="B45" s="18"/>
    </row>
    <row r="46">
      <c r="A46" s="88" t="s">
        <v>6</v>
      </c>
      <c r="B46" s="8" t="s">
        <v>3</v>
      </c>
    </row>
    <row r="47">
      <c r="A47" s="51" t="s">
        <v>85</v>
      </c>
      <c r="B47" s="18"/>
    </row>
    <row r="48">
      <c r="A48" s="88" t="s">
        <v>46</v>
      </c>
      <c r="B48" s="8" t="s">
        <v>26</v>
      </c>
    </row>
    <row r="49">
      <c r="A49" s="51" t="s">
        <v>87</v>
      </c>
      <c r="B49" s="18"/>
    </row>
    <row r="50">
      <c r="A50" s="91" t="s">
        <v>88</v>
      </c>
      <c r="B50" s="18"/>
    </row>
    <row r="51">
      <c r="A51" s="51" t="s">
        <v>90</v>
      </c>
      <c r="B51" s="18"/>
    </row>
    <row r="52">
      <c r="A52" s="51" t="s">
        <v>91</v>
      </c>
      <c r="B52" s="18"/>
    </row>
    <row r="53">
      <c r="A53" s="51" t="s">
        <v>92</v>
      </c>
      <c r="B53" s="18"/>
    </row>
    <row r="54">
      <c r="A54" s="91" t="s">
        <v>94</v>
      </c>
      <c r="B54" s="18"/>
    </row>
    <row r="55">
      <c r="A55" s="51" t="s">
        <v>96</v>
      </c>
      <c r="B55" s="18"/>
    </row>
    <row r="56">
      <c r="A56" s="51" t="s">
        <v>97</v>
      </c>
      <c r="B56" s="18"/>
    </row>
    <row r="57">
      <c r="A57" s="91" t="s">
        <v>99</v>
      </c>
      <c r="B57" s="18"/>
    </row>
    <row r="58">
      <c r="A58" s="51" t="s">
        <v>100</v>
      </c>
      <c r="B58" s="18"/>
    </row>
    <row r="59">
      <c r="A59" s="51" t="s">
        <v>101</v>
      </c>
      <c r="B59" s="18"/>
    </row>
    <row r="60">
      <c r="A60" s="51" t="s">
        <v>81</v>
      </c>
      <c r="B60" s="18"/>
    </row>
    <row r="61">
      <c r="A61" s="51" t="s">
        <v>60</v>
      </c>
      <c r="B61" s="18"/>
    </row>
    <row r="62">
      <c r="A62" s="88" t="s">
        <v>63</v>
      </c>
      <c r="B62" s="8" t="s">
        <v>16</v>
      </c>
      <c r="C62" s="8" t="s">
        <v>164</v>
      </c>
    </row>
    <row r="63">
      <c r="A63" s="51" t="s">
        <v>78</v>
      </c>
      <c r="B63" s="18"/>
    </row>
    <row r="64">
      <c r="A64" s="91" t="s">
        <v>66</v>
      </c>
      <c r="B64" s="18"/>
    </row>
  </sheetData>
  <drawing r:id="rId1"/>
</worksheet>
</file>